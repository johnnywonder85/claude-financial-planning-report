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r:id="rId1"/>
    <sheet name="Cash Flow Calendar" sheetId="2" state="visible" r:id="rId2"/>
    <sheet name="Debt Payoff Analysis" sheetId="3" state="visible" r:id="rId3"/>
    <sheet name="24-Month Projection" sheetId="4" state="visible" r:id="rId4"/>
    <sheet name="Emergency Scenarios" sheetId="5" state="visible" r:id="rId5"/>
  </sheets>
  <definedNames>
    <definedName name="GrossMonthly">Assumptions!$B$5</definedName>
    <definedName name="Holdback">Assumptions!$B$16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  <sz val="12"/>
    </font>
    <font>
      <i val="1"/>
      <color rgb="00666666"/>
      <sz val="9"/>
    </font>
    <font>
      <name val="Calibri"/>
      <b val="1"/>
      <color rgb="00FFFFFF"/>
      <sz val="11"/>
    </font>
    <font>
      <color rgb="00CC0000"/>
    </font>
    <font>
      <b val="1"/>
    </font>
  </fonts>
  <fills count="6">
    <fill>
      <patternFill/>
    </fill>
    <fill>
      <patternFill patternType="gray125"/>
    </fill>
    <fill>
      <patternFill patternType="solid">
        <fgColor rgb="00FFFDE7"/>
        <bgColor rgb="00FFFDE7"/>
      </patternFill>
    </fill>
    <fill>
      <patternFill patternType="solid">
        <fgColor rgb="00E0E0E0"/>
        <bgColor rgb="00E0E0E0"/>
      </patternFill>
    </fill>
    <fill>
      <patternFill patternType="solid">
        <fgColor rgb="001F4E79"/>
        <bgColor rgb="001F4E79"/>
      </patternFill>
    </fill>
    <fill>
      <patternFill patternType="solid">
        <fgColor rgb="00FFCDD2"/>
        <bgColor rgb="00FFCDD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2" borderId="1" pivotButton="0" quotePrefix="0" xfId="0"/>
    <xf numFmtId="0" fontId="0" fillId="3" borderId="1" pivotButton="0" quotePrefix="0" xfId="0"/>
    <xf numFmtId="0" fontId="4" fillId="0" borderId="0" pivotButton="0" quotePrefix="0" xfId="0"/>
    <xf numFmtId="4" fontId="0" fillId="3" borderId="1" pivotButton="0" quotePrefix="0" xfId="0"/>
    <xf numFmtId="10" fontId="0" fillId="3" borderId="1" pivotButton="0" quotePrefix="0" xfId="0"/>
    <xf numFmtId="4" fontId="0" fillId="2" borderId="1" pivotButton="0" quotePrefix="0" xfId="0"/>
    <xf numFmtId="10" fontId="0" fillId="2" borderId="1" pivotButton="0" quotePrefix="0" xfId="0"/>
    <xf numFmtId="0" fontId="5" fillId="4" borderId="1" applyAlignment="1" pivotButton="0" quotePrefix="0" xfId="0">
      <alignment horizontal="center" wrapText="1"/>
    </xf>
    <xf numFmtId="4" fontId="6" fillId="0" borderId="1" pivotButton="0" quotePrefix="0" xfId="0"/>
    <xf numFmtId="4" fontId="0" fillId="0" borderId="1" pivotButton="0" quotePrefix="0" xfId="0"/>
    <xf numFmtId="0" fontId="7" fillId="0" borderId="0" pivotButton="0" quotePrefix="0" xfId="0"/>
    <xf numFmtId="4" fontId="7" fillId="0" borderId="1" pivotButton="0" quotePrefix="0" xfId="0"/>
    <xf numFmtId="4" fontId="7" fillId="5" borderId="1" pivotButton="0" quotePrefix="0" xfId="0"/>
    <xf numFmtId="0" fontId="0" fillId="0" borderId="1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40" customWidth="1" min="3" max="3"/>
  </cols>
  <sheetData>
    <row r="1">
      <c r="A1" s="1" t="inlineStr">
        <is>
          <t>FINANCIAL PLAN — ASSUMPTIONS</t>
        </is>
      </c>
    </row>
    <row r="2">
      <c r="A2" s="2" t="inlineStr">
        <is>
          <t>Yellow cells are editable. Gray cells are calculated.</t>
        </is>
      </c>
    </row>
    <row r="4">
      <c r="A4" s="3" t="inlineStr">
        <is>
          <t>INCOME</t>
        </is>
      </c>
    </row>
    <row r="5">
      <c r="A5" t="inlineStr">
        <is>
          <t>Gross Monthly Income</t>
        </is>
      </c>
      <c r="B5" s="4" t="n">
        <v>10000</v>
      </c>
    </row>
    <row r="6">
      <c r="A6" t="inlineStr">
        <is>
          <t>Payment Day</t>
        </is>
      </c>
      <c r="B6" s="4" t="n">
        <v>21</v>
      </c>
    </row>
    <row r="7">
      <c r="A7" t="inlineStr">
        <is>
          <t>Annual Income</t>
        </is>
      </c>
      <c r="B7" s="5" t="n">
        <v>120000</v>
      </c>
      <c r="C7" s="6">
        <f> Monthly × 12</f>
        <v/>
      </c>
    </row>
    <row r="9">
      <c r="A9" s="3" t="inlineStr">
        <is>
          <t>TAX SUMMARY</t>
        </is>
      </c>
    </row>
    <row r="10">
      <c r="A10" t="inlineStr">
        <is>
          <t>Federal Tax</t>
        </is>
      </c>
      <c r="B10" s="7" t="n">
        <v>17195.3</v>
      </c>
    </row>
    <row r="11">
      <c r="A11" t="inlineStr">
        <is>
          <t>BC Provincial Tax</t>
        </is>
      </c>
      <c r="B11" s="7" t="n">
        <v>7329.09</v>
      </c>
    </row>
    <row r="12">
      <c r="A12" t="inlineStr">
        <is>
          <t>CPP (self-employed)</t>
        </is>
      </c>
      <c r="B12" s="7" t="n">
        <v>8068.2</v>
      </c>
    </row>
    <row r="13">
      <c r="A13" t="inlineStr">
        <is>
          <t>EI</t>
        </is>
      </c>
      <c r="B13" s="7" t="n">
        <v>1504.53</v>
      </c>
    </row>
    <row r="14">
      <c r="A14" t="inlineStr">
        <is>
          <t>Total Annual Tax</t>
        </is>
      </c>
      <c r="B14" s="7" t="n">
        <v>34097.12</v>
      </c>
    </row>
    <row r="15">
      <c r="A15" t="inlineStr">
        <is>
          <t>Effective Rate</t>
        </is>
      </c>
      <c r="B15" s="8" t="n">
        <v>0.2841</v>
      </c>
    </row>
    <row r="16">
      <c r="A16" t="inlineStr">
        <is>
          <t>Marginal Rate</t>
        </is>
      </c>
      <c r="B16" s="8" t="n">
        <v>0.31</v>
      </c>
    </row>
    <row r="17">
      <c r="A17" t="inlineStr">
        <is>
          <t>Monthly Holdback</t>
        </is>
      </c>
      <c r="B17" s="4" t="n">
        <v>2897</v>
      </c>
    </row>
    <row r="19">
      <c r="A19" s="3" t="inlineStr">
        <is>
          <t>FIXED EXPENSES</t>
        </is>
      </c>
    </row>
    <row r="20">
      <c r="A20" t="inlineStr">
        <is>
          <t>Rent (Day 1)</t>
        </is>
      </c>
      <c r="B20" s="9" t="n">
        <v>1850</v>
      </c>
    </row>
    <row r="21">
      <c r="A21" t="inlineStr">
        <is>
          <t>Student Loan (Day 1)</t>
        </is>
      </c>
      <c r="B21" s="9" t="n">
        <v>440</v>
      </c>
    </row>
    <row r="22">
      <c r="A22" t="inlineStr">
        <is>
          <t>Car Half (1 of 2) (Day 1)</t>
        </is>
      </c>
      <c r="B22" s="9" t="n">
        <v>315</v>
      </c>
    </row>
    <row r="23">
      <c r="A23" t="inlineStr">
        <is>
          <t>Utilities (Day 1)</t>
        </is>
      </c>
      <c r="B23" s="9" t="n">
        <v>120</v>
      </c>
    </row>
    <row r="24">
      <c r="A24" t="inlineStr">
        <is>
          <t>Insurance (Day 1)</t>
        </is>
      </c>
      <c r="B24" s="9" t="n">
        <v>95</v>
      </c>
    </row>
    <row r="25">
      <c r="A25" t="inlineStr">
        <is>
          <t>Pet (Day 1)</t>
        </is>
      </c>
      <c r="B25" s="9" t="n">
        <v>60</v>
      </c>
    </row>
    <row r="26">
      <c r="A26" t="inlineStr">
        <is>
          <t>Donations (Day 1)</t>
        </is>
      </c>
      <c r="B26" s="9" t="n">
        <v>106</v>
      </c>
    </row>
    <row r="27">
      <c r="A27" t="inlineStr">
        <is>
          <t>Groceries (Day 1)</t>
        </is>
      </c>
      <c r="B27" s="9" t="n">
        <v>50</v>
      </c>
    </row>
    <row r="28">
      <c r="A28" t="inlineStr">
        <is>
          <t>Household (Day 1)</t>
        </is>
      </c>
      <c r="B28" s="9" t="n">
        <v>25</v>
      </c>
    </row>
    <row r="29">
      <c r="A29" t="inlineStr">
        <is>
          <t>Laptop (Day 1)</t>
        </is>
      </c>
      <c r="B29" s="9" t="n">
        <v>20</v>
      </c>
    </row>
    <row r="30">
      <c r="A30" t="inlineStr">
        <is>
          <t>Car Half (2 of 2) (Day 15)</t>
        </is>
      </c>
      <c r="B30" s="9" t="n">
        <v>315</v>
      </c>
    </row>
    <row r="31">
      <c r="A31" t="inlineStr">
        <is>
          <t>CC Statement (Day 6)</t>
        </is>
      </c>
      <c r="B31" s="9" t="n">
        <v>1750</v>
      </c>
      <c r="C31" s="6" t="inlineStr">
        <is>
          <t>Covers ALL discretionary: dining, alcohol, clothing, barber, etc.</t>
        </is>
      </c>
    </row>
    <row r="33">
      <c r="A33" s="3" t="inlineStr">
        <is>
          <t>DEBTS</t>
        </is>
      </c>
    </row>
    <row r="34">
      <c r="A34" t="inlineStr">
        <is>
          <t>Loc — Balance</t>
        </is>
      </c>
      <c r="B34" s="9" t="n">
        <v>6450</v>
      </c>
    </row>
    <row r="35">
      <c r="A35" t="inlineStr">
        <is>
          <t>Loc — Rate</t>
        </is>
      </c>
      <c r="B35" s="10" t="n">
        <v>0.0449</v>
      </c>
    </row>
    <row r="36">
      <c r="A36" t="inlineStr">
        <is>
          <t>Loc — Payment</t>
        </is>
      </c>
      <c r="B36" s="9" t="n">
        <v>700</v>
      </c>
    </row>
    <row r="37">
      <c r="A37" t="inlineStr">
        <is>
          <t>Car Loan — Balance</t>
        </is>
      </c>
      <c r="B37" s="9" t="n">
        <v>4490</v>
      </c>
    </row>
    <row r="38">
      <c r="A38" t="inlineStr">
        <is>
          <t>Car Loan — Rate</t>
        </is>
      </c>
      <c r="B38" s="10" t="n">
        <v>0.0449</v>
      </c>
    </row>
    <row r="39">
      <c r="A39" t="inlineStr">
        <is>
          <t>Car Loan — Payment</t>
        </is>
      </c>
      <c r="B39" s="9" t="n">
        <v>630</v>
      </c>
    </row>
    <row r="40">
      <c r="A40" t="inlineStr">
        <is>
          <t>Student Loan — Balance</t>
        </is>
      </c>
      <c r="B40" s="9" t="n">
        <v>10500</v>
      </c>
    </row>
    <row r="41">
      <c r="A41" t="inlineStr">
        <is>
          <t>Student Loan — Rate</t>
        </is>
      </c>
      <c r="B41" s="10" t="n">
        <v>0</v>
      </c>
    </row>
    <row r="42">
      <c r="A42" t="inlineStr">
        <is>
          <t>Student Loan — Payment</t>
        </is>
      </c>
      <c r="B42" s="9" t="n">
        <v>440</v>
      </c>
    </row>
    <row r="44">
      <c r="A44" s="3" t="inlineStr">
        <is>
          <t>SAVINGS TARGETS</t>
        </is>
      </c>
    </row>
    <row r="45">
      <c r="A45" t="inlineStr">
        <is>
          <t>Safety Fund Monthly</t>
        </is>
      </c>
      <c r="B45" s="9" t="n">
        <v>500</v>
      </c>
    </row>
    <row r="46">
      <c r="A46" t="inlineStr">
        <is>
          <t>TFSA Monthly</t>
        </is>
      </c>
      <c r="B46" s="9" t="n">
        <v>100</v>
      </c>
    </row>
    <row r="47">
      <c r="A47" t="inlineStr">
        <is>
          <t>Emergency Fund Target</t>
        </is>
      </c>
      <c r="B47" s="9" t="n">
        <v>18000</v>
      </c>
    </row>
    <row r="48">
      <c r="A48" t="inlineStr">
        <is>
          <t>Phase 4 RRSP Monthly</t>
        </is>
      </c>
      <c r="B48" s="9" t="n">
        <v>1200</v>
      </c>
    </row>
    <row r="49">
      <c r="A49" t="inlineStr">
        <is>
          <t>Phase 4 TFSA Monthly</t>
        </is>
      </c>
      <c r="B49" s="9" t="n">
        <v>625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>
      <c r="A1" s="11" t="inlineStr">
        <is>
          <t>Payment Date</t>
        </is>
      </c>
      <c r="B1" s="11" t="inlineStr">
        <is>
          <t>Month 1</t>
        </is>
      </c>
      <c r="C1" s="11" t="inlineStr">
        <is>
          <t>Month 2</t>
        </is>
      </c>
      <c r="D1" s="11" t="inlineStr">
        <is>
          <t>Month 3</t>
        </is>
      </c>
      <c r="E1" s="11" t="inlineStr">
        <is>
          <t>Month 4</t>
        </is>
      </c>
      <c r="F1" s="11" t="inlineStr">
        <is>
          <t>Month 5</t>
        </is>
      </c>
      <c r="G1" s="11" t="inlineStr">
        <is>
          <t>Month 6</t>
        </is>
      </c>
      <c r="H1" s="11" t="inlineStr">
        <is>
          <t>Month 7</t>
        </is>
      </c>
      <c r="I1" s="11" t="inlineStr">
        <is>
          <t>Month 8</t>
        </is>
      </c>
      <c r="J1" s="11" t="inlineStr">
        <is>
          <t>Month 9</t>
        </is>
      </c>
      <c r="K1" s="11" t="inlineStr">
        <is>
          <t>Month 10</t>
        </is>
      </c>
      <c r="L1" s="11" t="inlineStr">
        <is>
          <t>Month 11</t>
        </is>
      </c>
      <c r="M1" s="11" t="inlineStr">
        <is>
          <t>Month 12</t>
        </is>
      </c>
      <c r="N1" s="11" t="inlineStr">
        <is>
          <t>Month 13</t>
        </is>
      </c>
      <c r="O1" s="11" t="inlineStr">
        <is>
          <t>Month 14</t>
        </is>
      </c>
      <c r="P1" s="11" t="inlineStr">
        <is>
          <t>Month 15</t>
        </is>
      </c>
      <c r="Q1" s="11" t="inlineStr">
        <is>
          <t>Month 16</t>
        </is>
      </c>
      <c r="R1" s="11" t="inlineStr">
        <is>
          <t>Month 17</t>
        </is>
      </c>
      <c r="S1" s="11" t="inlineStr">
        <is>
          <t>Month 18</t>
        </is>
      </c>
      <c r="T1" s="11" t="inlineStr">
        <is>
          <t>Month 19</t>
        </is>
      </c>
      <c r="U1" s="11" t="inlineStr">
        <is>
          <t>Month 20</t>
        </is>
      </c>
      <c r="V1" s="11" t="inlineStr">
        <is>
          <t>Month 21</t>
        </is>
      </c>
      <c r="W1" s="11" t="inlineStr">
        <is>
          <t>Month 22</t>
        </is>
      </c>
      <c r="X1" s="11" t="inlineStr">
        <is>
          <t>Month 23</t>
        </is>
      </c>
      <c r="Y1" s="11" t="inlineStr">
        <is>
          <t>Month 24</t>
        </is>
      </c>
    </row>
    <row r="2">
      <c r="A2" t="inlineStr">
        <is>
          <t>Day 1: Fixed Expenses</t>
        </is>
      </c>
      <c r="B2" s="12" t="n">
        <v>-3081</v>
      </c>
      <c r="C2" s="12" t="n">
        <v>-3081</v>
      </c>
      <c r="D2" s="12" t="n">
        <v>-3081</v>
      </c>
      <c r="E2" s="12" t="n">
        <v>-3081</v>
      </c>
      <c r="F2" s="12" t="n">
        <v>-3081</v>
      </c>
      <c r="G2" s="12" t="n">
        <v>-3081</v>
      </c>
      <c r="H2" s="12" t="n">
        <v>-3081</v>
      </c>
      <c r="I2" s="12" t="n">
        <v>-3081</v>
      </c>
      <c r="J2" s="12" t="n">
        <v>-3081</v>
      </c>
      <c r="K2" s="12" t="n">
        <v>-3081</v>
      </c>
      <c r="L2" s="12" t="n">
        <v>-3081</v>
      </c>
      <c r="M2" s="12" t="n">
        <v>-3081</v>
      </c>
      <c r="N2" s="12" t="n">
        <v>-3081</v>
      </c>
      <c r="O2" s="12" t="n">
        <v>-3081</v>
      </c>
      <c r="P2" s="12" t="n">
        <v>-3081</v>
      </c>
      <c r="Q2" s="12" t="n">
        <v>-3081</v>
      </c>
      <c r="R2" s="12" t="n">
        <v>-3081</v>
      </c>
      <c r="S2" s="12" t="n">
        <v>-3081</v>
      </c>
      <c r="T2" s="12" t="n">
        <v>-3081</v>
      </c>
      <c r="U2" s="12" t="n">
        <v>-3081</v>
      </c>
      <c r="V2" s="12" t="n">
        <v>-3081</v>
      </c>
      <c r="W2" s="12" t="n">
        <v>-3081</v>
      </c>
      <c r="X2" s="12" t="n">
        <v>-3081</v>
      </c>
      <c r="Y2" s="12" t="n">
        <v>-3081</v>
      </c>
    </row>
    <row r="3">
      <c r="A3" t="inlineStr">
        <is>
          <t>Day 6: CC Statement</t>
        </is>
      </c>
      <c r="B3" s="12" t="n">
        <v>-1750</v>
      </c>
      <c r="C3" s="12" t="n">
        <v>-1750</v>
      </c>
      <c r="D3" s="12" t="n">
        <v>-1750</v>
      </c>
      <c r="E3" s="12" t="n">
        <v>-1750</v>
      </c>
      <c r="F3" s="12" t="n">
        <v>-1750</v>
      </c>
      <c r="G3" s="12" t="n">
        <v>-1750</v>
      </c>
      <c r="H3" s="12" t="n">
        <v>-1750</v>
      </c>
      <c r="I3" s="12" t="n">
        <v>-1750</v>
      </c>
      <c r="J3" s="12" t="n">
        <v>-1750</v>
      </c>
      <c r="K3" s="12" t="n">
        <v>-1750</v>
      </c>
      <c r="L3" s="12" t="n">
        <v>-1750</v>
      </c>
      <c r="M3" s="12" t="n">
        <v>-1750</v>
      </c>
      <c r="N3" s="12" t="n">
        <v>-1750</v>
      </c>
      <c r="O3" s="12" t="n">
        <v>-1750</v>
      </c>
      <c r="P3" s="12" t="n">
        <v>-1750</v>
      </c>
      <c r="Q3" s="12" t="n">
        <v>-1750</v>
      </c>
      <c r="R3" s="12" t="n">
        <v>-1750</v>
      </c>
      <c r="S3" s="12" t="n">
        <v>-1750</v>
      </c>
      <c r="T3" s="12" t="n">
        <v>-1750</v>
      </c>
      <c r="U3" s="12" t="n">
        <v>-1750</v>
      </c>
      <c r="V3" s="12" t="n">
        <v>-1750</v>
      </c>
      <c r="W3" s="12" t="n">
        <v>-1750</v>
      </c>
      <c r="X3" s="12" t="n">
        <v>-1750</v>
      </c>
      <c r="Y3" s="12" t="n">
        <v>-1750</v>
      </c>
    </row>
    <row r="4">
      <c r="A4" t="inlineStr">
        <is>
          <t>Day 15: Mid-month</t>
        </is>
      </c>
      <c r="B4" s="12" t="n">
        <v>-315</v>
      </c>
      <c r="C4" s="12" t="n">
        <v>-315</v>
      </c>
      <c r="D4" s="12" t="n">
        <v>-315</v>
      </c>
      <c r="E4" s="12" t="n">
        <v>-315</v>
      </c>
      <c r="F4" s="12" t="n">
        <v>-315</v>
      </c>
      <c r="G4" s="12" t="n">
        <v>-315</v>
      </c>
      <c r="H4" s="12" t="n">
        <v>-315</v>
      </c>
      <c r="I4" s="12" t="n">
        <v>-315</v>
      </c>
      <c r="J4" s="12" t="n">
        <v>-315</v>
      </c>
      <c r="K4" s="12" t="n">
        <v>-315</v>
      </c>
      <c r="L4" s="12" t="n">
        <v>-315</v>
      </c>
      <c r="M4" s="12" t="n">
        <v>-315</v>
      </c>
      <c r="N4" s="12" t="n">
        <v>-315</v>
      </c>
      <c r="O4" s="12" t="n">
        <v>-315</v>
      </c>
      <c r="P4" s="12" t="n">
        <v>-315</v>
      </c>
      <c r="Q4" s="12" t="n">
        <v>-315</v>
      </c>
      <c r="R4" s="12" t="n">
        <v>-315</v>
      </c>
      <c r="S4" s="12" t="n">
        <v>-315</v>
      </c>
      <c r="T4" s="12" t="n">
        <v>-315</v>
      </c>
      <c r="U4" s="12" t="n">
        <v>-315</v>
      </c>
      <c r="V4" s="12" t="n">
        <v>-315</v>
      </c>
      <c r="W4" s="12" t="n">
        <v>-315</v>
      </c>
      <c r="X4" s="12" t="n">
        <v>-315</v>
      </c>
      <c r="Y4" s="12" t="n">
        <v>-315</v>
      </c>
    </row>
    <row r="5">
      <c r="A5" t="inlineStr">
        <is>
          <t>Day 21: Income / LOC / Holdback</t>
        </is>
      </c>
      <c r="B5" s="13" t="n">
        <v>7078.87</v>
      </c>
      <c r="C5" s="13" t="n">
        <v>7081.49</v>
      </c>
      <c r="D5" s="13" t="n">
        <v>7084.1</v>
      </c>
      <c r="E5" s="13" t="n">
        <v>7086.72</v>
      </c>
      <c r="F5" s="13" t="n">
        <v>7089.34</v>
      </c>
      <c r="G5" s="13" t="n">
        <v>7091.96</v>
      </c>
      <c r="H5" s="13" t="n">
        <v>7094.58</v>
      </c>
      <c r="I5" s="13" t="n">
        <v>7097.2</v>
      </c>
      <c r="J5" s="13" t="n">
        <v>7099.82</v>
      </c>
      <c r="K5" s="13" t="n">
        <v>7102.44</v>
      </c>
      <c r="L5" s="13" t="n">
        <v>7103</v>
      </c>
      <c r="M5" s="13" t="n">
        <v>7103</v>
      </c>
      <c r="N5" s="13" t="n">
        <v>7103</v>
      </c>
      <c r="O5" s="13" t="n">
        <v>7103</v>
      </c>
      <c r="P5" s="13" t="n">
        <v>7103</v>
      </c>
      <c r="Q5" s="13" t="n">
        <v>7103</v>
      </c>
      <c r="R5" s="13" t="n">
        <v>7103</v>
      </c>
      <c r="S5" s="13" t="n">
        <v>7103</v>
      </c>
      <c r="T5" s="13" t="n">
        <v>7103</v>
      </c>
      <c r="U5" s="13" t="n">
        <v>7103</v>
      </c>
      <c r="V5" s="13" t="n">
        <v>7103</v>
      </c>
      <c r="W5" s="13" t="n">
        <v>7103</v>
      </c>
      <c r="X5" s="13" t="n">
        <v>7103</v>
      </c>
      <c r="Y5" s="13" t="n">
        <v>7103</v>
      </c>
    </row>
    <row r="6">
      <c r="A6" t="inlineStr">
        <is>
          <t>Day 24: LOC Principal</t>
        </is>
      </c>
      <c r="B6" s="12" t="n">
        <v>-700</v>
      </c>
      <c r="C6" s="12" t="n">
        <v>-700</v>
      </c>
      <c r="D6" s="12" t="n">
        <v>-700</v>
      </c>
      <c r="E6" s="12" t="n">
        <v>-700</v>
      </c>
      <c r="F6" s="12" t="n">
        <v>-700</v>
      </c>
      <c r="G6" s="12" t="n">
        <v>-700</v>
      </c>
      <c r="H6" s="12" t="n">
        <v>-700</v>
      </c>
      <c r="I6" s="12" t="n">
        <v>-700</v>
      </c>
      <c r="J6" s="12" t="n">
        <v>-700</v>
      </c>
      <c r="K6" s="12" t="n">
        <v>-150</v>
      </c>
      <c r="L6" s="13" t="n">
        <v>0</v>
      </c>
      <c r="M6" s="13" t="n">
        <v>0</v>
      </c>
      <c r="N6" s="13" t="n">
        <v>0</v>
      </c>
      <c r="O6" s="13" t="n">
        <v>0</v>
      </c>
      <c r="P6" s="13" t="n">
        <v>0</v>
      </c>
      <c r="Q6" s="13" t="n">
        <v>0</v>
      </c>
      <c r="R6" s="13" t="n">
        <v>0</v>
      </c>
      <c r="S6" s="13" t="n">
        <v>0</v>
      </c>
      <c r="T6" s="13" t="n">
        <v>0</v>
      </c>
      <c r="U6" s="13" t="n">
        <v>0</v>
      </c>
      <c r="V6" s="13" t="n">
        <v>0</v>
      </c>
      <c r="W6" s="13" t="n">
        <v>0</v>
      </c>
      <c r="X6" s="13" t="n">
        <v>0</v>
      </c>
      <c r="Y6" s="13" t="n">
        <v>0</v>
      </c>
    </row>
    <row r="7">
      <c r="A7" t="inlineStr">
        <is>
          <t>Day 25: Savings</t>
        </is>
      </c>
      <c r="B7" s="12" t="n">
        <v>-600</v>
      </c>
      <c r="C7" s="12" t="n">
        <v>-600</v>
      </c>
      <c r="D7" s="12" t="n">
        <v>-600</v>
      </c>
      <c r="E7" s="12" t="n">
        <v>-600</v>
      </c>
      <c r="F7" s="12" t="n">
        <v>-600</v>
      </c>
      <c r="G7" s="12" t="n">
        <v>-600</v>
      </c>
      <c r="H7" s="12" t="n">
        <v>-600</v>
      </c>
      <c r="I7" s="12" t="n">
        <v>-600</v>
      </c>
      <c r="J7" s="12" t="n">
        <v>-600</v>
      </c>
      <c r="K7" s="12" t="n">
        <v>-600</v>
      </c>
      <c r="L7" s="12" t="n">
        <v>-1300</v>
      </c>
      <c r="M7" s="12" t="n">
        <v>-1300</v>
      </c>
      <c r="N7" s="12" t="n">
        <v>-1300</v>
      </c>
      <c r="O7" s="12" t="n">
        <v>-1300</v>
      </c>
      <c r="P7" s="12" t="n">
        <v>-1300</v>
      </c>
      <c r="Q7" s="12" t="n">
        <v>-2365</v>
      </c>
      <c r="R7" s="12" t="n">
        <v>-2365</v>
      </c>
      <c r="S7" s="12" t="n">
        <v>-2365</v>
      </c>
      <c r="T7" s="12" t="n">
        <v>-2365</v>
      </c>
      <c r="U7" s="12" t="n">
        <v>-2365</v>
      </c>
      <c r="V7" s="12" t="n">
        <v>-2365</v>
      </c>
      <c r="W7" s="12" t="n">
        <v>-2365</v>
      </c>
      <c r="X7" s="12" t="n">
        <v>-2365</v>
      </c>
      <c r="Y7" s="12" t="n">
        <v>-2365</v>
      </c>
    </row>
    <row r="8">
      <c r="A8" s="14" t="inlineStr">
        <is>
          <t>Net Cash Flow</t>
        </is>
      </c>
      <c r="B8" s="15" t="n">
        <v>-437.13</v>
      </c>
      <c r="C8" s="15" t="n">
        <v>-434.51</v>
      </c>
      <c r="D8" s="15" t="n">
        <v>-431.9</v>
      </c>
      <c r="E8" s="15" t="n">
        <v>-429.28</v>
      </c>
      <c r="F8" s="15" t="n">
        <v>-426.66</v>
      </c>
      <c r="G8" s="15" t="n">
        <v>-424.04</v>
      </c>
      <c r="H8" s="15" t="n">
        <v>-421.42</v>
      </c>
      <c r="I8" s="15" t="n">
        <v>61.53</v>
      </c>
      <c r="J8" s="15" t="n">
        <v>213.82</v>
      </c>
      <c r="K8" s="15" t="n">
        <v>766.4400000000001</v>
      </c>
      <c r="L8" s="15" t="n">
        <v>217</v>
      </c>
      <c r="M8" s="15" t="n">
        <v>217</v>
      </c>
      <c r="N8" s="15" t="n">
        <v>217</v>
      </c>
      <c r="O8" s="15" t="n">
        <v>217</v>
      </c>
      <c r="P8" s="15" t="n">
        <v>217</v>
      </c>
      <c r="Q8" s="15" t="n">
        <v>-848</v>
      </c>
      <c r="R8" s="15" t="n">
        <v>-11348</v>
      </c>
      <c r="S8" s="15" t="n">
        <v>-848</v>
      </c>
      <c r="T8" s="15" t="n">
        <v>-848</v>
      </c>
      <c r="U8" s="15" t="n">
        <v>-848</v>
      </c>
      <c r="V8" s="15" t="n">
        <v>-848</v>
      </c>
      <c r="W8" s="15" t="n">
        <v>-848</v>
      </c>
      <c r="X8" s="15" t="n">
        <v>-848</v>
      </c>
      <c r="Y8" s="15" t="n">
        <v>-788</v>
      </c>
    </row>
    <row r="9">
      <c r="A9" s="14" t="inlineStr">
        <is>
          <t>Chequing Balance</t>
        </is>
      </c>
      <c r="B9" s="15" t="n">
        <v>4562.87</v>
      </c>
      <c r="C9" s="15" t="n">
        <v>4128.36</v>
      </c>
      <c r="D9" s="15" t="n">
        <v>3696.46</v>
      </c>
      <c r="E9" s="15" t="n">
        <v>3267.18</v>
      </c>
      <c r="F9" s="15" t="n">
        <v>2840.52</v>
      </c>
      <c r="G9" s="15" t="n">
        <v>2416.48</v>
      </c>
      <c r="H9" s="15" t="n">
        <v>1995.06</v>
      </c>
      <c r="I9" s="15" t="n">
        <v>2056.59</v>
      </c>
      <c r="J9" s="15" t="n">
        <v>2270.41</v>
      </c>
      <c r="K9" s="15" t="n">
        <v>3036.85</v>
      </c>
      <c r="L9" s="15" t="n">
        <v>3253.85</v>
      </c>
      <c r="M9" s="15" t="n">
        <v>3470.85</v>
      </c>
      <c r="N9" s="15" t="n">
        <v>3687.85</v>
      </c>
      <c r="O9" s="15" t="n">
        <v>3904.85</v>
      </c>
      <c r="P9" s="15" t="n">
        <v>4121.85</v>
      </c>
      <c r="Q9" s="15" t="n">
        <v>3273.85</v>
      </c>
      <c r="R9" s="16" t="n">
        <v>-8074.15</v>
      </c>
      <c r="S9" s="16" t="n">
        <v>-8922.15</v>
      </c>
      <c r="T9" s="16" t="n">
        <v>-9770.15</v>
      </c>
      <c r="U9" s="16" t="n">
        <v>-10618.15</v>
      </c>
      <c r="V9" s="16" t="n">
        <v>-11466.15</v>
      </c>
      <c r="W9" s="16" t="n">
        <v>-12314.15</v>
      </c>
      <c r="X9" s="16" t="n">
        <v>-13162.15</v>
      </c>
      <c r="Y9" s="16" t="n">
        <v>-13950.15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22" customWidth="1" min="4" max="4"/>
  </cols>
  <sheetData>
    <row r="1">
      <c r="A1" s="11" t="inlineStr">
        <is>
          <t>Metric</t>
        </is>
      </c>
      <c r="B1" s="11" t="inlineStr">
        <is>
          <t>Current Plan</t>
        </is>
      </c>
      <c r="C1" s="11" t="inlineStr">
        <is>
          <t>Aggressive</t>
        </is>
      </c>
      <c r="D1" s="11" t="inlineStr">
        <is>
          <t>Comfortable</t>
        </is>
      </c>
    </row>
    <row r="2">
      <c r="A2" t="inlineStr">
        <is>
          <t>Monthly Extra to LOC</t>
        </is>
      </c>
      <c r="B2" s="13" t="n">
        <v>700</v>
      </c>
      <c r="C2" s="13" t="n">
        <v>1000</v>
      </c>
      <c r="D2" s="13" t="n">
        <v>500</v>
      </c>
    </row>
    <row r="3">
      <c r="A3" t="inlineStr">
        <is>
          <t>LOC Payoff Month</t>
        </is>
      </c>
      <c r="B3" s="17" t="n">
        <v>10</v>
      </c>
      <c r="C3" s="17" t="n">
        <v>7</v>
      </c>
      <c r="D3" s="17" t="n">
        <v>13</v>
      </c>
    </row>
    <row r="4">
      <c r="A4" t="inlineStr">
        <is>
          <t>Total Interest Paid</t>
        </is>
      </c>
      <c r="B4" s="13" t="n">
        <v>193.15</v>
      </c>
      <c r="C4" s="13" t="n">
        <v>160.03</v>
      </c>
      <c r="D4" s="13" t="n">
        <v>237.48</v>
      </c>
    </row>
    <row r="5">
      <c r="A5" t="inlineStr">
        <is>
          <t>Debt-Free Date</t>
        </is>
      </c>
      <c r="B5" s="17" t="inlineStr">
        <is>
          <t>2028-01-01</t>
        </is>
      </c>
      <c r="C5" s="17" t="inlineStr">
        <is>
          <t>2028-01-01</t>
        </is>
      </c>
      <c r="D5" s="17" t="inlineStr">
        <is>
          <t>2028-01-01</t>
        </is>
      </c>
    </row>
    <row r="6">
      <c r="A6" t="inlineStr">
        <is>
          <t>Total Cost</t>
        </is>
      </c>
      <c r="B6" s="13" t="n">
        <v>21633.15</v>
      </c>
      <c r="C6" s="13" t="n">
        <v>21600.03</v>
      </c>
      <c r="D6" s="13" t="n">
        <v>21677.48</v>
      </c>
    </row>
    <row r="9">
      <c r="A9" s="3" t="inlineStr">
        <is>
          <t>MONTHLY TIMELINE</t>
        </is>
      </c>
    </row>
    <row r="10">
      <c r="A10" s="11" t="inlineStr">
        <is>
          <t>Month</t>
        </is>
      </c>
      <c r="B10" s="11" t="inlineStr">
        <is>
          <t>Phase</t>
        </is>
      </c>
      <c r="C10" s="11" t="inlineStr">
        <is>
          <t>LOC Balance</t>
        </is>
      </c>
      <c r="D10" s="11" t="inlineStr">
        <is>
          <t>Car Loan</t>
        </is>
      </c>
      <c r="E10" s="11" t="inlineStr">
        <is>
          <t>Student Loan</t>
        </is>
      </c>
      <c r="F10" s="11" t="inlineStr">
        <is>
          <t>Safety Fund</t>
        </is>
      </c>
      <c r="G10" s="11" t="inlineStr">
        <is>
          <t>TFSA</t>
        </is>
      </c>
      <c r="H10" s="11" t="inlineStr">
        <is>
          <t>RRSP</t>
        </is>
      </c>
      <c r="I10" s="11" t="inlineStr">
        <is>
          <t>Total Interest</t>
        </is>
      </c>
    </row>
    <row r="11">
      <c r="A11" t="n">
        <v>1</v>
      </c>
      <c r="B11" t="inlineStr">
        <is>
          <t>Phase 1: LOC Elimination</t>
        </is>
      </c>
      <c r="C11" s="13" t="n">
        <v>5750</v>
      </c>
      <c r="D11" s="13" t="n">
        <v>3876.8</v>
      </c>
      <c r="E11" s="13" t="n">
        <v>10060</v>
      </c>
      <c r="F11" s="13" t="n">
        <v>500</v>
      </c>
      <c r="G11" s="13" t="n">
        <v>100</v>
      </c>
      <c r="H11" s="13" t="n">
        <v>0</v>
      </c>
      <c r="I11" s="13" t="n">
        <v>40.93</v>
      </c>
    </row>
    <row r="12">
      <c r="A12" t="n">
        <v>2</v>
      </c>
      <c r="B12" t="inlineStr">
        <is>
          <t>Phase 1: LOC Elimination</t>
        </is>
      </c>
      <c r="C12" s="13" t="n">
        <v>5050</v>
      </c>
      <c r="D12" s="13" t="n">
        <v>3261.31</v>
      </c>
      <c r="E12" s="13" t="n">
        <v>9620</v>
      </c>
      <c r="F12" s="13" t="n">
        <v>1000</v>
      </c>
      <c r="G12" s="13" t="n">
        <v>200</v>
      </c>
      <c r="H12" s="13" t="n">
        <v>0</v>
      </c>
      <c r="I12" s="13" t="n">
        <v>76.95</v>
      </c>
    </row>
    <row r="13">
      <c r="A13" t="n">
        <v>3</v>
      </c>
      <c r="B13" t="inlineStr">
        <is>
          <t>Phase 1: LOC Elimination</t>
        </is>
      </c>
      <c r="C13" s="13" t="n">
        <v>4350</v>
      </c>
      <c r="D13" s="13" t="n">
        <v>2643.51</v>
      </c>
      <c r="E13" s="13" t="n">
        <v>9180</v>
      </c>
      <c r="F13" s="13" t="n">
        <v>1500</v>
      </c>
      <c r="G13" s="13" t="n">
        <v>300</v>
      </c>
      <c r="H13" s="13" t="n">
        <v>0</v>
      </c>
      <c r="I13" s="13" t="n">
        <v>108.05</v>
      </c>
    </row>
    <row r="14">
      <c r="A14" t="n">
        <v>4</v>
      </c>
      <c r="B14" t="inlineStr">
        <is>
          <t>Phase 1: LOC Elimination</t>
        </is>
      </c>
      <c r="C14" s="13" t="n">
        <v>3650</v>
      </c>
      <c r="D14" s="13" t="n">
        <v>2023.4</v>
      </c>
      <c r="E14" s="13" t="n">
        <v>8740</v>
      </c>
      <c r="F14" s="13" t="n">
        <v>2000</v>
      </c>
      <c r="G14" s="13" t="n">
        <v>400</v>
      </c>
      <c r="H14" s="13" t="n">
        <v>0</v>
      </c>
      <c r="I14" s="13" t="n">
        <v>134.22</v>
      </c>
    </row>
    <row r="15">
      <c r="A15" t="n">
        <v>5</v>
      </c>
      <c r="B15" t="inlineStr">
        <is>
          <t>Phase 1: LOC Elimination</t>
        </is>
      </c>
      <c r="C15" s="13" t="n">
        <v>2950</v>
      </c>
      <c r="D15" s="13" t="n">
        <v>1400.97</v>
      </c>
      <c r="E15" s="13" t="n">
        <v>8300</v>
      </c>
      <c r="F15" s="13" t="n">
        <v>2500</v>
      </c>
      <c r="G15" s="13" t="n">
        <v>500</v>
      </c>
      <c r="H15" s="13" t="n">
        <v>0</v>
      </c>
      <c r="I15" s="13" t="n">
        <v>155.45</v>
      </c>
    </row>
    <row r="16">
      <c r="A16" t="n">
        <v>6</v>
      </c>
      <c r="B16" t="inlineStr">
        <is>
          <t>Phase 1: LOC Elimination</t>
        </is>
      </c>
      <c r="C16" s="13" t="n">
        <v>2250</v>
      </c>
      <c r="D16" s="13" t="n">
        <v>776.21</v>
      </c>
      <c r="E16" s="13" t="n">
        <v>7860</v>
      </c>
      <c r="F16" s="13" t="n">
        <v>3000</v>
      </c>
      <c r="G16" s="13" t="n">
        <v>600</v>
      </c>
      <c r="H16" s="13" t="n">
        <v>0</v>
      </c>
      <c r="I16" s="13" t="n">
        <v>171.73</v>
      </c>
    </row>
    <row r="17">
      <c r="A17" t="n">
        <v>7</v>
      </c>
      <c r="B17" t="inlineStr">
        <is>
          <t>Phase 1: LOC Elimination</t>
        </is>
      </c>
      <c r="C17" s="13" t="n">
        <v>1550</v>
      </c>
      <c r="D17" s="13" t="n">
        <v>149.11</v>
      </c>
      <c r="E17" s="13" t="n">
        <v>7420</v>
      </c>
      <c r="F17" s="13" t="n">
        <v>3500</v>
      </c>
      <c r="G17" s="13" t="n">
        <v>700</v>
      </c>
      <c r="H17" s="13" t="n">
        <v>0</v>
      </c>
      <c r="I17" s="13" t="n">
        <v>183.05</v>
      </c>
    </row>
    <row r="18">
      <c r="A18" t="n">
        <v>8</v>
      </c>
      <c r="B18" t="inlineStr">
        <is>
          <t>Phase 1: LOC Elimination</t>
        </is>
      </c>
      <c r="C18" s="13" t="n">
        <v>850</v>
      </c>
      <c r="D18" s="13" t="n">
        <v>0</v>
      </c>
      <c r="E18" s="13" t="n">
        <v>6980</v>
      </c>
      <c r="F18" s="13" t="n">
        <v>4000</v>
      </c>
      <c r="G18" s="13" t="n">
        <v>800</v>
      </c>
      <c r="H18" s="13" t="n">
        <v>0</v>
      </c>
      <c r="I18" s="13" t="n">
        <v>189.41</v>
      </c>
    </row>
    <row r="19">
      <c r="A19" t="n">
        <v>9</v>
      </c>
      <c r="B19" t="inlineStr">
        <is>
          <t>Phase 1: LOC Elimination</t>
        </is>
      </c>
      <c r="C19" s="13" t="n">
        <v>150</v>
      </c>
      <c r="D19" s="13" t="n">
        <v>0</v>
      </c>
      <c r="E19" s="13" t="n">
        <v>6540</v>
      </c>
      <c r="F19" s="13" t="n">
        <v>4500</v>
      </c>
      <c r="G19" s="13" t="n">
        <v>900</v>
      </c>
      <c r="H19" s="13" t="n">
        <v>0</v>
      </c>
      <c r="I19" s="13" t="n">
        <v>192.59</v>
      </c>
    </row>
    <row r="20">
      <c r="A20" t="n">
        <v>10</v>
      </c>
      <c r="B20" t="inlineStr">
        <is>
          <t>Phase 1: LOC Elimination</t>
        </is>
      </c>
      <c r="C20" s="13" t="n">
        <v>0</v>
      </c>
      <c r="D20" s="13" t="n">
        <v>0</v>
      </c>
      <c r="E20" s="13" t="n">
        <v>6100</v>
      </c>
      <c r="F20" s="13" t="n">
        <v>5000</v>
      </c>
      <c r="G20" s="13" t="n">
        <v>1000</v>
      </c>
      <c r="H20" s="13" t="n">
        <v>0</v>
      </c>
      <c r="I20" s="13" t="n">
        <v>193.15</v>
      </c>
    </row>
    <row r="21">
      <c r="A21" t="n">
        <v>11</v>
      </c>
      <c r="B21" t="inlineStr">
        <is>
          <t>Phase 2: Car Balloon Fund</t>
        </is>
      </c>
      <c r="C21" s="13" t="n">
        <v>0</v>
      </c>
      <c r="D21" s="13" t="n">
        <v>0</v>
      </c>
      <c r="E21" s="13" t="n">
        <v>5660</v>
      </c>
      <c r="F21" s="13" t="n">
        <v>6200</v>
      </c>
      <c r="G21" s="13" t="n">
        <v>1100</v>
      </c>
      <c r="H21" s="13" t="n">
        <v>0</v>
      </c>
      <c r="I21" s="13" t="n">
        <v>193.15</v>
      </c>
    </row>
    <row r="22">
      <c r="A22" t="n">
        <v>12</v>
      </c>
      <c r="B22" t="inlineStr">
        <is>
          <t>Phase 2: Car Balloon Fund</t>
        </is>
      </c>
      <c r="C22" s="13" t="n">
        <v>0</v>
      </c>
      <c r="D22" s="13" t="n">
        <v>0</v>
      </c>
      <c r="E22" s="13" t="n">
        <v>5220</v>
      </c>
      <c r="F22" s="13" t="n">
        <v>7400</v>
      </c>
      <c r="G22" s="13" t="n">
        <v>1200</v>
      </c>
      <c r="H22" s="13" t="n">
        <v>0</v>
      </c>
      <c r="I22" s="13" t="n">
        <v>193.15</v>
      </c>
    </row>
    <row r="23">
      <c r="A23" t="n">
        <v>13</v>
      </c>
      <c r="B23" t="inlineStr">
        <is>
          <t>Phase 2: Car Balloon Fund</t>
        </is>
      </c>
      <c r="C23" s="13" t="n">
        <v>0</v>
      </c>
      <c r="D23" s="13" t="n">
        <v>0</v>
      </c>
      <c r="E23" s="13" t="n">
        <v>4780</v>
      </c>
      <c r="F23" s="13" t="n">
        <v>8600</v>
      </c>
      <c r="G23" s="13" t="n">
        <v>1300</v>
      </c>
      <c r="H23" s="13" t="n">
        <v>0</v>
      </c>
      <c r="I23" s="13" t="n">
        <v>193.15</v>
      </c>
    </row>
    <row r="24">
      <c r="A24" t="n">
        <v>14</v>
      </c>
      <c r="B24" t="inlineStr">
        <is>
          <t>Phase 2: Car Balloon Fund</t>
        </is>
      </c>
      <c r="C24" s="13" t="n">
        <v>0</v>
      </c>
      <c r="D24" s="13" t="n">
        <v>0</v>
      </c>
      <c r="E24" s="13" t="n">
        <v>4340</v>
      </c>
      <c r="F24" s="13" t="n">
        <v>9800</v>
      </c>
      <c r="G24" s="13" t="n">
        <v>1400</v>
      </c>
      <c r="H24" s="13" t="n">
        <v>0</v>
      </c>
      <c r="I24" s="13" t="n">
        <v>193.15</v>
      </c>
    </row>
    <row r="25">
      <c r="A25" t="n">
        <v>15</v>
      </c>
      <c r="B25" t="inlineStr">
        <is>
          <t>Phase 2: Car Balloon Fund</t>
        </is>
      </c>
      <c r="C25" s="13" t="n">
        <v>0</v>
      </c>
      <c r="D25" s="13" t="n">
        <v>0</v>
      </c>
      <c r="E25" s="13" t="n">
        <v>3900</v>
      </c>
      <c r="F25" s="13" t="n">
        <v>11000</v>
      </c>
      <c r="G25" s="13" t="n">
        <v>1500</v>
      </c>
      <c r="H25" s="13" t="n">
        <v>0</v>
      </c>
      <c r="I25" s="13" t="n">
        <v>193.15</v>
      </c>
    </row>
    <row r="26">
      <c r="A26" t="n">
        <v>16</v>
      </c>
      <c r="B26" t="inlineStr">
        <is>
          <t>Phase 3: Emergency Fund</t>
        </is>
      </c>
      <c r="C26" s="13" t="n">
        <v>0</v>
      </c>
      <c r="D26" s="13" t="n">
        <v>0</v>
      </c>
      <c r="E26" s="13" t="n">
        <v>3460</v>
      </c>
      <c r="F26" s="13" t="n">
        <v>11500</v>
      </c>
      <c r="G26" s="13" t="n">
        <v>1600</v>
      </c>
      <c r="H26" s="13" t="n">
        <v>625</v>
      </c>
      <c r="I26" s="13" t="n">
        <v>193.15</v>
      </c>
    </row>
    <row r="27">
      <c r="A27" t="n">
        <v>17</v>
      </c>
      <c r="B27" t="inlineStr">
        <is>
          <t>Phase 3: Emergency Fund</t>
        </is>
      </c>
      <c r="C27" s="13" t="n">
        <v>0</v>
      </c>
      <c r="D27" s="13" t="n">
        <v>0</v>
      </c>
      <c r="E27" s="13" t="n">
        <v>3020</v>
      </c>
      <c r="F27" s="13" t="n">
        <v>1500</v>
      </c>
      <c r="G27" s="13" t="n">
        <v>1700</v>
      </c>
      <c r="H27" s="13" t="n">
        <v>1250</v>
      </c>
      <c r="I27" s="13" t="n">
        <v>193.15</v>
      </c>
    </row>
    <row r="28">
      <c r="A28" t="n">
        <v>18</v>
      </c>
      <c r="B28" t="inlineStr">
        <is>
          <t>Phase 3: Emergency Fund</t>
        </is>
      </c>
      <c r="C28" s="13" t="n">
        <v>0</v>
      </c>
      <c r="D28" s="13" t="n">
        <v>0</v>
      </c>
      <c r="E28" s="13" t="n">
        <v>2580</v>
      </c>
      <c r="F28" s="13" t="n">
        <v>2000</v>
      </c>
      <c r="G28" s="13" t="n">
        <v>1800</v>
      </c>
      <c r="H28" s="13" t="n">
        <v>1875</v>
      </c>
      <c r="I28" s="13" t="n">
        <v>193.15</v>
      </c>
    </row>
    <row r="29">
      <c r="A29" t="n">
        <v>19</v>
      </c>
      <c r="B29" t="inlineStr">
        <is>
          <t>Phase 3: Emergency Fund</t>
        </is>
      </c>
      <c r="C29" s="13" t="n">
        <v>0</v>
      </c>
      <c r="D29" s="13" t="n">
        <v>0</v>
      </c>
      <c r="E29" s="13" t="n">
        <v>2140</v>
      </c>
      <c r="F29" s="13" t="n">
        <v>2500</v>
      </c>
      <c r="G29" s="13" t="n">
        <v>1900</v>
      </c>
      <c r="H29" s="13" t="n">
        <v>2500</v>
      </c>
      <c r="I29" s="13" t="n">
        <v>193.15</v>
      </c>
    </row>
    <row r="30">
      <c r="A30" t="n">
        <v>20</v>
      </c>
      <c r="B30" t="inlineStr">
        <is>
          <t>Phase 3: Emergency Fund</t>
        </is>
      </c>
      <c r="C30" s="13" t="n">
        <v>0</v>
      </c>
      <c r="D30" s="13" t="n">
        <v>0</v>
      </c>
      <c r="E30" s="13" t="n">
        <v>1700</v>
      </c>
      <c r="F30" s="13" t="n">
        <v>3000</v>
      </c>
      <c r="G30" s="13" t="n">
        <v>2000</v>
      </c>
      <c r="H30" s="13" t="n">
        <v>3125</v>
      </c>
      <c r="I30" s="13" t="n">
        <v>193.15</v>
      </c>
    </row>
    <row r="31">
      <c r="A31" t="n">
        <v>21</v>
      </c>
      <c r="B31" t="inlineStr">
        <is>
          <t>Phase 3: Emergency Fund</t>
        </is>
      </c>
      <c r="C31" s="13" t="n">
        <v>0</v>
      </c>
      <c r="D31" s="13" t="n">
        <v>0</v>
      </c>
      <c r="E31" s="13" t="n">
        <v>1260</v>
      </c>
      <c r="F31" s="13" t="n">
        <v>3500</v>
      </c>
      <c r="G31" s="13" t="n">
        <v>2100</v>
      </c>
      <c r="H31" s="13" t="n">
        <v>3750</v>
      </c>
      <c r="I31" s="13" t="n">
        <v>193.15</v>
      </c>
    </row>
    <row r="32">
      <c r="A32" t="n">
        <v>22</v>
      </c>
      <c r="B32" t="inlineStr">
        <is>
          <t>Phase 3: Emergency Fund</t>
        </is>
      </c>
      <c r="C32" s="13" t="n">
        <v>0</v>
      </c>
      <c r="D32" s="13" t="n">
        <v>0</v>
      </c>
      <c r="E32" s="13" t="n">
        <v>820</v>
      </c>
      <c r="F32" s="13" t="n">
        <v>4000</v>
      </c>
      <c r="G32" s="13" t="n">
        <v>2200</v>
      </c>
      <c r="H32" s="13" t="n">
        <v>4375</v>
      </c>
      <c r="I32" s="13" t="n">
        <v>193.15</v>
      </c>
    </row>
    <row r="33">
      <c r="A33" t="n">
        <v>23</v>
      </c>
      <c r="B33" t="inlineStr">
        <is>
          <t>Phase 3: Emergency Fund</t>
        </is>
      </c>
      <c r="C33" s="13" t="n">
        <v>0</v>
      </c>
      <c r="D33" s="13" t="n">
        <v>0</v>
      </c>
      <c r="E33" s="13" t="n">
        <v>380</v>
      </c>
      <c r="F33" s="13" t="n">
        <v>4500</v>
      </c>
      <c r="G33" s="13" t="n">
        <v>2300</v>
      </c>
      <c r="H33" s="13" t="n">
        <v>5000</v>
      </c>
      <c r="I33" s="13" t="n">
        <v>193.15</v>
      </c>
    </row>
    <row r="34">
      <c r="A34" t="n">
        <v>24</v>
      </c>
      <c r="B34" t="inlineStr">
        <is>
          <t>Phase 3: Emergency Fund</t>
        </is>
      </c>
      <c r="C34" s="13" t="n">
        <v>0</v>
      </c>
      <c r="D34" s="13" t="n">
        <v>0</v>
      </c>
      <c r="E34" s="13" t="n">
        <v>0</v>
      </c>
      <c r="F34" s="13" t="n">
        <v>5000</v>
      </c>
      <c r="G34" s="13" t="n">
        <v>2400</v>
      </c>
      <c r="H34" s="13" t="n">
        <v>5625</v>
      </c>
      <c r="I34" s="13" t="n">
        <v>193.15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2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11" t="inlineStr">
        <is>
          <t>Month</t>
        </is>
      </c>
      <c r="B1" s="11" t="inlineStr">
        <is>
          <t>Date</t>
        </is>
      </c>
      <c r="C1" s="11" t="inlineStr">
        <is>
          <t>Phase</t>
        </is>
      </c>
      <c r="D1" s="11" t="inlineStr">
        <is>
          <t>Income</t>
        </is>
      </c>
      <c r="E1" s="11" t="inlineStr">
        <is>
          <t>Holdback</t>
        </is>
      </c>
      <c r="F1" s="11" t="inlineStr">
        <is>
          <t>Fixed Expenses</t>
        </is>
      </c>
      <c r="G1" s="11" t="inlineStr">
        <is>
          <t>CC Payment</t>
        </is>
      </c>
      <c r="H1" s="11" t="inlineStr">
        <is>
          <t>Debt Payments</t>
        </is>
      </c>
      <c r="I1" s="11" t="inlineStr">
        <is>
          <t>Savings</t>
        </is>
      </c>
      <c r="J1" s="11" t="inlineStr">
        <is>
          <t>Net Cash Flow</t>
        </is>
      </c>
      <c r="K1" s="11" t="inlineStr">
        <is>
          <t>Chequing</t>
        </is>
      </c>
      <c r="L1" s="11" t="inlineStr">
        <is>
          <t>LOC</t>
        </is>
      </c>
      <c r="M1" s="11" t="inlineStr">
        <is>
          <t>Car Loan</t>
        </is>
      </c>
      <c r="N1" s="11" t="inlineStr">
        <is>
          <t>Student Loan</t>
        </is>
      </c>
      <c r="O1" s="11" t="inlineStr">
        <is>
          <t>Safety Fund</t>
        </is>
      </c>
      <c r="P1" s="11" t="inlineStr">
        <is>
          <t>Emergency Fund</t>
        </is>
      </c>
      <c r="Q1" s="11" t="inlineStr">
        <is>
          <t>TFSA</t>
        </is>
      </c>
      <c r="R1" s="11" t="inlineStr">
        <is>
          <t>RRSP</t>
        </is>
      </c>
      <c r="S1" s="11" t="inlineStr">
        <is>
          <t>Net Worth</t>
        </is>
      </c>
    </row>
    <row r="2">
      <c r="A2" t="n">
        <v>1</v>
      </c>
      <c r="B2" t="inlineStr">
        <is>
          <t>2026-02-01</t>
        </is>
      </c>
      <c r="C2" t="inlineStr">
        <is>
          <t>Phase 1: LOC Elimination</t>
        </is>
      </c>
      <c r="D2" s="13" t="n">
        <v>10000</v>
      </c>
      <c r="E2" s="13" t="n">
        <v>2897</v>
      </c>
      <c r="F2" s="13" t="n">
        <v>3396</v>
      </c>
      <c r="G2" s="13" t="n">
        <v>1750</v>
      </c>
      <c r="H2" s="13" t="n">
        <v>1794.13</v>
      </c>
      <c r="I2" s="13" t="n">
        <v>600</v>
      </c>
      <c r="J2" s="13" t="n">
        <v>-437.13</v>
      </c>
      <c r="K2" s="13" t="n">
        <v>4562.87</v>
      </c>
      <c r="L2" s="13" t="n">
        <v>5750</v>
      </c>
      <c r="M2" s="13" t="n">
        <v>3876.8</v>
      </c>
      <c r="N2" s="13" t="n">
        <v>10060</v>
      </c>
      <c r="O2" s="13" t="n">
        <v>500</v>
      </c>
      <c r="P2" s="13" t="n">
        <v>0</v>
      </c>
      <c r="Q2" s="13" t="n">
        <v>100</v>
      </c>
      <c r="R2" s="13" t="n">
        <v>0</v>
      </c>
      <c r="S2" s="13" t="n">
        <v>-14523.93</v>
      </c>
    </row>
    <row r="3">
      <c r="A3" t="n">
        <v>2</v>
      </c>
      <c r="B3" t="inlineStr">
        <is>
          <t>2026-03-01</t>
        </is>
      </c>
      <c r="C3" t="inlineStr">
        <is>
          <t>Phase 1: LOC Elimination</t>
        </is>
      </c>
      <c r="D3" s="13" t="n">
        <v>10000</v>
      </c>
      <c r="E3" s="13" t="n">
        <v>2897</v>
      </c>
      <c r="F3" s="13" t="n">
        <v>3396</v>
      </c>
      <c r="G3" s="13" t="n">
        <v>1750</v>
      </c>
      <c r="H3" s="13" t="n">
        <v>1791.51</v>
      </c>
      <c r="I3" s="13" t="n">
        <v>600</v>
      </c>
      <c r="J3" s="13" t="n">
        <v>-434.51</v>
      </c>
      <c r="K3" s="13" t="n">
        <v>4128.36</v>
      </c>
      <c r="L3" s="13" t="n">
        <v>5050</v>
      </c>
      <c r="M3" s="13" t="n">
        <v>3261.31</v>
      </c>
      <c r="N3" s="13" t="n">
        <v>9620</v>
      </c>
      <c r="O3" s="13" t="n">
        <v>1000</v>
      </c>
      <c r="P3" s="13" t="n">
        <v>0</v>
      </c>
      <c r="Q3" s="13" t="n">
        <v>200</v>
      </c>
      <c r="R3" s="13" t="n">
        <v>0</v>
      </c>
      <c r="S3" s="13" t="n">
        <v>-12602.95</v>
      </c>
    </row>
    <row r="4">
      <c r="A4" t="n">
        <v>3</v>
      </c>
      <c r="B4" t="inlineStr">
        <is>
          <t>2026-04-01</t>
        </is>
      </c>
      <c r="C4" t="inlineStr">
        <is>
          <t>Phase 1: LOC Elimination</t>
        </is>
      </c>
      <c r="D4" s="13" t="n">
        <v>10000</v>
      </c>
      <c r="E4" s="13" t="n">
        <v>2897</v>
      </c>
      <c r="F4" s="13" t="n">
        <v>3396</v>
      </c>
      <c r="G4" s="13" t="n">
        <v>1750</v>
      </c>
      <c r="H4" s="13" t="n">
        <v>1788.9</v>
      </c>
      <c r="I4" s="13" t="n">
        <v>600</v>
      </c>
      <c r="J4" s="13" t="n">
        <v>-431.9</v>
      </c>
      <c r="K4" s="13" t="n">
        <v>3696.46</v>
      </c>
      <c r="L4" s="13" t="n">
        <v>4350</v>
      </c>
      <c r="M4" s="13" t="n">
        <v>2643.51</v>
      </c>
      <c r="N4" s="13" t="n">
        <v>9180</v>
      </c>
      <c r="O4" s="13" t="n">
        <v>1500</v>
      </c>
      <c r="P4" s="13" t="n">
        <v>0</v>
      </c>
      <c r="Q4" s="13" t="n">
        <v>300</v>
      </c>
      <c r="R4" s="13" t="n">
        <v>0</v>
      </c>
      <c r="S4" s="13" t="n">
        <v>-10677.05</v>
      </c>
    </row>
    <row r="5">
      <c r="A5" t="n">
        <v>4</v>
      </c>
      <c r="B5" t="inlineStr">
        <is>
          <t>2026-05-01</t>
        </is>
      </c>
      <c r="C5" t="inlineStr">
        <is>
          <t>Phase 1: LOC Elimination</t>
        </is>
      </c>
      <c r="D5" s="13" t="n">
        <v>10000</v>
      </c>
      <c r="E5" s="13" t="n">
        <v>2897</v>
      </c>
      <c r="F5" s="13" t="n">
        <v>3396</v>
      </c>
      <c r="G5" s="13" t="n">
        <v>1750</v>
      </c>
      <c r="H5" s="13" t="n">
        <v>1786.28</v>
      </c>
      <c r="I5" s="13" t="n">
        <v>600</v>
      </c>
      <c r="J5" s="13" t="n">
        <v>-429.28</v>
      </c>
      <c r="K5" s="13" t="n">
        <v>3267.18</v>
      </c>
      <c r="L5" s="13" t="n">
        <v>3650</v>
      </c>
      <c r="M5" s="13" t="n">
        <v>2023.4</v>
      </c>
      <c r="N5" s="13" t="n">
        <v>8740</v>
      </c>
      <c r="O5" s="13" t="n">
        <v>2000</v>
      </c>
      <c r="P5" s="13" t="n">
        <v>0</v>
      </c>
      <c r="Q5" s="13" t="n">
        <v>400</v>
      </c>
      <c r="R5" s="13" t="n">
        <v>0</v>
      </c>
      <c r="S5" s="13" t="n">
        <v>-8746.219999999999</v>
      </c>
    </row>
    <row r="6">
      <c r="A6" t="n">
        <v>5</v>
      </c>
      <c r="B6" t="inlineStr">
        <is>
          <t>2026-06-01</t>
        </is>
      </c>
      <c r="C6" t="inlineStr">
        <is>
          <t>Phase 1: LOC Elimination</t>
        </is>
      </c>
      <c r="D6" s="13" t="n">
        <v>10000</v>
      </c>
      <c r="E6" s="13" t="n">
        <v>2897</v>
      </c>
      <c r="F6" s="13" t="n">
        <v>3396</v>
      </c>
      <c r="G6" s="13" t="n">
        <v>1750</v>
      </c>
      <c r="H6" s="13" t="n">
        <v>1783.66</v>
      </c>
      <c r="I6" s="13" t="n">
        <v>600</v>
      </c>
      <c r="J6" s="13" t="n">
        <v>-426.66</v>
      </c>
      <c r="K6" s="13" t="n">
        <v>2840.52</v>
      </c>
      <c r="L6" s="13" t="n">
        <v>2950</v>
      </c>
      <c r="M6" s="13" t="n">
        <v>1400.97</v>
      </c>
      <c r="N6" s="13" t="n">
        <v>8300</v>
      </c>
      <c r="O6" s="13" t="n">
        <v>2500</v>
      </c>
      <c r="P6" s="13" t="n">
        <v>0</v>
      </c>
      <c r="Q6" s="13" t="n">
        <v>500</v>
      </c>
      <c r="R6" s="13" t="n">
        <v>0</v>
      </c>
      <c r="S6" s="13" t="n">
        <v>-6810.45</v>
      </c>
    </row>
    <row r="7">
      <c r="A7" t="n">
        <v>6</v>
      </c>
      <c r="B7" t="inlineStr">
        <is>
          <t>2026-07-01</t>
        </is>
      </c>
      <c r="C7" t="inlineStr">
        <is>
          <t>Phase 1: LOC Elimination</t>
        </is>
      </c>
      <c r="D7" s="13" t="n">
        <v>10000</v>
      </c>
      <c r="E7" s="13" t="n">
        <v>2897</v>
      </c>
      <c r="F7" s="13" t="n">
        <v>3396</v>
      </c>
      <c r="G7" s="13" t="n">
        <v>1750</v>
      </c>
      <c r="H7" s="13" t="n">
        <v>1781.04</v>
      </c>
      <c r="I7" s="13" t="n">
        <v>600</v>
      </c>
      <c r="J7" s="13" t="n">
        <v>-424.04</v>
      </c>
      <c r="K7" s="13" t="n">
        <v>2416.48</v>
      </c>
      <c r="L7" s="13" t="n">
        <v>2250</v>
      </c>
      <c r="M7" s="13" t="n">
        <v>776.21</v>
      </c>
      <c r="N7" s="13" t="n">
        <v>7860</v>
      </c>
      <c r="O7" s="13" t="n">
        <v>3000</v>
      </c>
      <c r="P7" s="13" t="n">
        <v>0</v>
      </c>
      <c r="Q7" s="13" t="n">
        <v>600</v>
      </c>
      <c r="R7" s="13" t="n">
        <v>0</v>
      </c>
      <c r="S7" s="13" t="n">
        <v>-4869.73</v>
      </c>
    </row>
    <row r="8">
      <c r="A8" t="n">
        <v>7</v>
      </c>
      <c r="B8" t="inlineStr">
        <is>
          <t>2026-08-01</t>
        </is>
      </c>
      <c r="C8" t="inlineStr">
        <is>
          <t>Phase 1: LOC Elimination</t>
        </is>
      </c>
      <c r="D8" s="13" t="n">
        <v>10000</v>
      </c>
      <c r="E8" s="13" t="n">
        <v>2897</v>
      </c>
      <c r="F8" s="13" t="n">
        <v>3396</v>
      </c>
      <c r="G8" s="13" t="n">
        <v>1750</v>
      </c>
      <c r="H8" s="13" t="n">
        <v>1778.42</v>
      </c>
      <c r="I8" s="13" t="n">
        <v>600</v>
      </c>
      <c r="J8" s="13" t="n">
        <v>-421.42</v>
      </c>
      <c r="K8" s="13" t="n">
        <v>1995.06</v>
      </c>
      <c r="L8" s="13" t="n">
        <v>1550</v>
      </c>
      <c r="M8" s="13" t="n">
        <v>149.11</v>
      </c>
      <c r="N8" s="13" t="n">
        <v>7420</v>
      </c>
      <c r="O8" s="13" t="n">
        <v>3500</v>
      </c>
      <c r="P8" s="13" t="n">
        <v>0</v>
      </c>
      <c r="Q8" s="13" t="n">
        <v>700</v>
      </c>
      <c r="R8" s="13" t="n">
        <v>0</v>
      </c>
      <c r="S8" s="13" t="n">
        <v>-2924.05</v>
      </c>
    </row>
    <row r="9">
      <c r="A9" t="n">
        <v>8</v>
      </c>
      <c r="B9" t="inlineStr">
        <is>
          <t>2026-09-01</t>
        </is>
      </c>
      <c r="C9" t="inlineStr">
        <is>
          <t>Phase 1: LOC Elimination</t>
        </is>
      </c>
      <c r="D9" s="13" t="n">
        <v>10000</v>
      </c>
      <c r="E9" s="13" t="n">
        <v>2897</v>
      </c>
      <c r="F9" s="13" t="n">
        <v>3396</v>
      </c>
      <c r="G9" s="13" t="n">
        <v>1750</v>
      </c>
      <c r="H9" s="13" t="n">
        <v>1295.47</v>
      </c>
      <c r="I9" s="13" t="n">
        <v>600</v>
      </c>
      <c r="J9" s="13" t="n">
        <v>61.53</v>
      </c>
      <c r="K9" s="13" t="n">
        <v>2056.59</v>
      </c>
      <c r="L9" s="13" t="n">
        <v>850</v>
      </c>
      <c r="M9" s="13" t="n">
        <v>0</v>
      </c>
      <c r="N9" s="13" t="n">
        <v>6980</v>
      </c>
      <c r="O9" s="13" t="n">
        <v>4000</v>
      </c>
      <c r="P9" s="13" t="n">
        <v>0</v>
      </c>
      <c r="Q9" s="13" t="n">
        <v>800</v>
      </c>
      <c r="R9" s="13" t="n">
        <v>0</v>
      </c>
      <c r="S9" s="13" t="n">
        <v>-973.41</v>
      </c>
    </row>
    <row r="10">
      <c r="A10" t="n">
        <v>9</v>
      </c>
      <c r="B10" t="inlineStr">
        <is>
          <t>2026-10-01</t>
        </is>
      </c>
      <c r="C10" t="inlineStr">
        <is>
          <t>Phase 1: LOC Elimination</t>
        </is>
      </c>
      <c r="D10" s="13" t="n">
        <v>10000</v>
      </c>
      <c r="E10" s="13" t="n">
        <v>2897</v>
      </c>
      <c r="F10" s="13" t="n">
        <v>3396</v>
      </c>
      <c r="G10" s="13" t="n">
        <v>1750</v>
      </c>
      <c r="H10" s="13" t="n">
        <v>1143.18</v>
      </c>
      <c r="I10" s="13" t="n">
        <v>600</v>
      </c>
      <c r="J10" s="13" t="n">
        <v>213.82</v>
      </c>
      <c r="K10" s="13" t="n">
        <v>2270.41</v>
      </c>
      <c r="L10" s="13" t="n">
        <v>150</v>
      </c>
      <c r="M10" s="13" t="n">
        <v>0</v>
      </c>
      <c r="N10" s="13" t="n">
        <v>6540</v>
      </c>
      <c r="O10" s="13" t="n">
        <v>4500</v>
      </c>
      <c r="P10" s="13" t="n">
        <v>0</v>
      </c>
      <c r="Q10" s="13" t="n">
        <v>900</v>
      </c>
      <c r="R10" s="13" t="n">
        <v>0</v>
      </c>
      <c r="S10" s="13" t="n">
        <v>980.41</v>
      </c>
    </row>
    <row r="11">
      <c r="A11" t="n">
        <v>10</v>
      </c>
      <c r="B11" t="inlineStr">
        <is>
          <t>2026-11-01</t>
        </is>
      </c>
      <c r="C11" t="inlineStr">
        <is>
          <t>Phase 1: LOC Elimination</t>
        </is>
      </c>
      <c r="D11" s="13" t="n">
        <v>10000</v>
      </c>
      <c r="E11" s="13" t="n">
        <v>2897</v>
      </c>
      <c r="F11" s="13" t="n">
        <v>3396</v>
      </c>
      <c r="G11" s="13" t="n">
        <v>1750</v>
      </c>
      <c r="H11" s="13" t="n">
        <v>590.5599999999999</v>
      </c>
      <c r="I11" s="13" t="n">
        <v>600</v>
      </c>
      <c r="J11" s="13" t="n">
        <v>766.4400000000001</v>
      </c>
      <c r="K11" s="13" t="n">
        <v>3036.85</v>
      </c>
      <c r="L11" s="13" t="n">
        <v>0</v>
      </c>
      <c r="M11" s="13" t="n">
        <v>0</v>
      </c>
      <c r="N11" s="13" t="n">
        <v>6100</v>
      </c>
      <c r="O11" s="13" t="n">
        <v>5000</v>
      </c>
      <c r="P11" s="13" t="n">
        <v>0</v>
      </c>
      <c r="Q11" s="13" t="n">
        <v>1000</v>
      </c>
      <c r="R11" s="13" t="n">
        <v>0</v>
      </c>
      <c r="S11" s="13" t="n">
        <v>2936.85</v>
      </c>
    </row>
    <row r="12">
      <c r="A12" t="n">
        <v>11</v>
      </c>
      <c r="B12" t="inlineStr">
        <is>
          <t>2026-12-01</t>
        </is>
      </c>
      <c r="C12" t="inlineStr">
        <is>
          <t>Phase 2: Car Balloon Fund</t>
        </is>
      </c>
      <c r="D12" s="13" t="n">
        <v>10000</v>
      </c>
      <c r="E12" s="13" t="n">
        <v>2897</v>
      </c>
      <c r="F12" s="13" t="n">
        <v>3396</v>
      </c>
      <c r="G12" s="13" t="n">
        <v>1750</v>
      </c>
      <c r="H12" s="13" t="n">
        <v>440</v>
      </c>
      <c r="I12" s="13" t="n">
        <v>1300</v>
      </c>
      <c r="J12" s="13" t="n">
        <v>217</v>
      </c>
      <c r="K12" s="13" t="n">
        <v>3253.85</v>
      </c>
      <c r="L12" s="13" t="n">
        <v>0</v>
      </c>
      <c r="M12" s="13" t="n">
        <v>0</v>
      </c>
      <c r="N12" s="13" t="n">
        <v>5660</v>
      </c>
      <c r="O12" s="13" t="n">
        <v>6200</v>
      </c>
      <c r="P12" s="13" t="n">
        <v>0</v>
      </c>
      <c r="Q12" s="13" t="n">
        <v>1100</v>
      </c>
      <c r="R12" s="13" t="n">
        <v>0</v>
      </c>
      <c r="S12" s="13" t="n">
        <v>4893.85</v>
      </c>
    </row>
    <row r="13">
      <c r="A13" t="n">
        <v>12</v>
      </c>
      <c r="B13" t="inlineStr">
        <is>
          <t>2027-01-01</t>
        </is>
      </c>
      <c r="C13" t="inlineStr">
        <is>
          <t>Phase 2: Car Balloon Fund</t>
        </is>
      </c>
      <c r="D13" s="13" t="n">
        <v>10000</v>
      </c>
      <c r="E13" s="13" t="n">
        <v>2897</v>
      </c>
      <c r="F13" s="13" t="n">
        <v>3396</v>
      </c>
      <c r="G13" s="13" t="n">
        <v>1750</v>
      </c>
      <c r="H13" s="13" t="n">
        <v>440</v>
      </c>
      <c r="I13" s="13" t="n">
        <v>1300</v>
      </c>
      <c r="J13" s="13" t="n">
        <v>217</v>
      </c>
      <c r="K13" s="13" t="n">
        <v>3470.85</v>
      </c>
      <c r="L13" s="13" t="n">
        <v>0</v>
      </c>
      <c r="M13" s="13" t="n">
        <v>0</v>
      </c>
      <c r="N13" s="13" t="n">
        <v>5220</v>
      </c>
      <c r="O13" s="13" t="n">
        <v>7400</v>
      </c>
      <c r="P13" s="13" t="n">
        <v>0</v>
      </c>
      <c r="Q13" s="13" t="n">
        <v>1200</v>
      </c>
      <c r="R13" s="13" t="n">
        <v>0</v>
      </c>
      <c r="S13" s="13" t="n">
        <v>6850.85</v>
      </c>
    </row>
    <row r="14">
      <c r="A14" t="n">
        <v>13</v>
      </c>
      <c r="B14" t="inlineStr">
        <is>
          <t>2027-02-01</t>
        </is>
      </c>
      <c r="C14" t="inlineStr">
        <is>
          <t>Phase 2: Car Balloon Fund</t>
        </is>
      </c>
      <c r="D14" s="13" t="n">
        <v>10000</v>
      </c>
      <c r="E14" s="13" t="n">
        <v>2897</v>
      </c>
      <c r="F14" s="13" t="n">
        <v>3396</v>
      </c>
      <c r="G14" s="13" t="n">
        <v>1750</v>
      </c>
      <c r="H14" s="13" t="n">
        <v>440</v>
      </c>
      <c r="I14" s="13" t="n">
        <v>1300</v>
      </c>
      <c r="J14" s="13" t="n">
        <v>217</v>
      </c>
      <c r="K14" s="13" t="n">
        <v>3687.85</v>
      </c>
      <c r="L14" s="13" t="n">
        <v>0</v>
      </c>
      <c r="M14" s="13" t="n">
        <v>0</v>
      </c>
      <c r="N14" s="13" t="n">
        <v>4780</v>
      </c>
      <c r="O14" s="13" t="n">
        <v>8600</v>
      </c>
      <c r="P14" s="13" t="n">
        <v>0</v>
      </c>
      <c r="Q14" s="13" t="n">
        <v>1300</v>
      </c>
      <c r="R14" s="13" t="n">
        <v>0</v>
      </c>
      <c r="S14" s="13" t="n">
        <v>8807.85</v>
      </c>
    </row>
    <row r="15">
      <c r="A15" t="n">
        <v>14</v>
      </c>
      <c r="B15" t="inlineStr">
        <is>
          <t>2027-03-01</t>
        </is>
      </c>
      <c r="C15" t="inlineStr">
        <is>
          <t>Phase 2: Car Balloon Fund</t>
        </is>
      </c>
      <c r="D15" s="13" t="n">
        <v>10000</v>
      </c>
      <c r="E15" s="13" t="n">
        <v>2897</v>
      </c>
      <c r="F15" s="13" t="n">
        <v>3396</v>
      </c>
      <c r="G15" s="13" t="n">
        <v>1750</v>
      </c>
      <c r="H15" s="13" t="n">
        <v>440</v>
      </c>
      <c r="I15" s="13" t="n">
        <v>1300</v>
      </c>
      <c r="J15" s="13" t="n">
        <v>217</v>
      </c>
      <c r="K15" s="13" t="n">
        <v>3904.85</v>
      </c>
      <c r="L15" s="13" t="n">
        <v>0</v>
      </c>
      <c r="M15" s="13" t="n">
        <v>0</v>
      </c>
      <c r="N15" s="13" t="n">
        <v>4340</v>
      </c>
      <c r="O15" s="13" t="n">
        <v>9800</v>
      </c>
      <c r="P15" s="13" t="n">
        <v>0</v>
      </c>
      <c r="Q15" s="13" t="n">
        <v>1400</v>
      </c>
      <c r="R15" s="13" t="n">
        <v>0</v>
      </c>
      <c r="S15" s="13" t="n">
        <v>10764.85</v>
      </c>
    </row>
    <row r="16">
      <c r="A16" t="n">
        <v>15</v>
      </c>
      <c r="B16" t="inlineStr">
        <is>
          <t>2027-04-01</t>
        </is>
      </c>
      <c r="C16" t="inlineStr">
        <is>
          <t>Phase 2: Car Balloon Fund</t>
        </is>
      </c>
      <c r="D16" s="13" t="n">
        <v>10000</v>
      </c>
      <c r="E16" s="13" t="n">
        <v>2897</v>
      </c>
      <c r="F16" s="13" t="n">
        <v>3396</v>
      </c>
      <c r="G16" s="13" t="n">
        <v>1750</v>
      </c>
      <c r="H16" s="13" t="n">
        <v>440</v>
      </c>
      <c r="I16" s="13" t="n">
        <v>1300</v>
      </c>
      <c r="J16" s="13" t="n">
        <v>217</v>
      </c>
      <c r="K16" s="13" t="n">
        <v>4121.85</v>
      </c>
      <c r="L16" s="13" t="n">
        <v>0</v>
      </c>
      <c r="M16" s="13" t="n">
        <v>0</v>
      </c>
      <c r="N16" s="13" t="n">
        <v>3900</v>
      </c>
      <c r="O16" s="13" t="n">
        <v>11000</v>
      </c>
      <c r="P16" s="13" t="n">
        <v>0</v>
      </c>
      <c r="Q16" s="13" t="n">
        <v>1500</v>
      </c>
      <c r="R16" s="13" t="n">
        <v>0</v>
      </c>
      <c r="S16" s="13" t="n">
        <v>12721.85</v>
      </c>
    </row>
    <row r="17">
      <c r="A17" t="n">
        <v>16</v>
      </c>
      <c r="B17" t="inlineStr">
        <is>
          <t>2027-05-01</t>
        </is>
      </c>
      <c r="C17" t="inlineStr">
        <is>
          <t>Phase 3: Emergency Fund</t>
        </is>
      </c>
      <c r="D17" s="13" t="n">
        <v>10000</v>
      </c>
      <c r="E17" s="13" t="n">
        <v>2897</v>
      </c>
      <c r="F17" s="13" t="n">
        <v>3396</v>
      </c>
      <c r="G17" s="13" t="n">
        <v>1750</v>
      </c>
      <c r="H17" s="13" t="n">
        <v>440</v>
      </c>
      <c r="I17" s="13" t="n">
        <v>2365</v>
      </c>
      <c r="J17" s="13" t="n">
        <v>-848</v>
      </c>
      <c r="K17" s="13" t="n">
        <v>3273.85</v>
      </c>
      <c r="L17" s="13" t="n">
        <v>0</v>
      </c>
      <c r="M17" s="13" t="n">
        <v>0</v>
      </c>
      <c r="N17" s="13" t="n">
        <v>3460</v>
      </c>
      <c r="O17" s="13" t="n">
        <v>11500</v>
      </c>
      <c r="P17" s="13" t="n">
        <v>1140</v>
      </c>
      <c r="Q17" s="13" t="n">
        <v>1600</v>
      </c>
      <c r="R17" s="13" t="n">
        <v>625</v>
      </c>
      <c r="S17" s="13" t="n">
        <v>14678.85</v>
      </c>
    </row>
    <row r="18">
      <c r="A18" t="n">
        <v>17</v>
      </c>
      <c r="B18" t="inlineStr">
        <is>
          <t>2027-06-01</t>
        </is>
      </c>
      <c r="C18" t="inlineStr">
        <is>
          <t>Phase 3: Emergency Fund</t>
        </is>
      </c>
      <c r="D18" s="13" t="n">
        <v>10000</v>
      </c>
      <c r="E18" s="13" t="n">
        <v>2897</v>
      </c>
      <c r="F18" s="13" t="n">
        <v>3396</v>
      </c>
      <c r="G18" s="13" t="n">
        <v>1750</v>
      </c>
      <c r="H18" s="13" t="n">
        <v>10940</v>
      </c>
      <c r="I18" s="13" t="n">
        <v>2365</v>
      </c>
      <c r="J18" s="13" t="n">
        <v>-11348</v>
      </c>
      <c r="K18" s="13" t="n">
        <v>-8074.15</v>
      </c>
      <c r="L18" s="13" t="n">
        <v>0</v>
      </c>
      <c r="M18" s="13" t="n">
        <v>0</v>
      </c>
      <c r="N18" s="13" t="n">
        <v>3020</v>
      </c>
      <c r="O18" s="13" t="n">
        <v>1500</v>
      </c>
      <c r="P18" s="13" t="n">
        <v>2280</v>
      </c>
      <c r="Q18" s="13" t="n">
        <v>1700</v>
      </c>
      <c r="R18" s="13" t="n">
        <v>1250</v>
      </c>
      <c r="S18" s="13" t="n">
        <v>-4364.15</v>
      </c>
    </row>
    <row r="19">
      <c r="A19" t="n">
        <v>18</v>
      </c>
      <c r="B19" t="inlineStr">
        <is>
          <t>2027-07-01</t>
        </is>
      </c>
      <c r="C19" t="inlineStr">
        <is>
          <t>Phase 3: Emergency Fund</t>
        </is>
      </c>
      <c r="D19" s="13" t="n">
        <v>10000</v>
      </c>
      <c r="E19" s="13" t="n">
        <v>2897</v>
      </c>
      <c r="F19" s="13" t="n">
        <v>3396</v>
      </c>
      <c r="G19" s="13" t="n">
        <v>1750</v>
      </c>
      <c r="H19" s="13" t="n">
        <v>440</v>
      </c>
      <c r="I19" s="13" t="n">
        <v>2365</v>
      </c>
      <c r="J19" s="13" t="n">
        <v>-848</v>
      </c>
      <c r="K19" s="13" t="n">
        <v>-8922.15</v>
      </c>
      <c r="L19" s="13" t="n">
        <v>0</v>
      </c>
      <c r="M19" s="13" t="n">
        <v>0</v>
      </c>
      <c r="N19" s="13" t="n">
        <v>2580</v>
      </c>
      <c r="O19" s="13" t="n">
        <v>2000</v>
      </c>
      <c r="P19" s="13" t="n">
        <v>3420</v>
      </c>
      <c r="Q19" s="13" t="n">
        <v>1800</v>
      </c>
      <c r="R19" s="13" t="n">
        <v>1875</v>
      </c>
      <c r="S19" s="13" t="n">
        <v>-2407.15</v>
      </c>
    </row>
    <row r="20">
      <c r="A20" t="n">
        <v>19</v>
      </c>
      <c r="B20" t="inlineStr">
        <is>
          <t>2027-08-01</t>
        </is>
      </c>
      <c r="C20" t="inlineStr">
        <is>
          <t>Phase 3: Emergency Fund</t>
        </is>
      </c>
      <c r="D20" s="13" t="n">
        <v>10000</v>
      </c>
      <c r="E20" s="13" t="n">
        <v>2897</v>
      </c>
      <c r="F20" s="13" t="n">
        <v>3396</v>
      </c>
      <c r="G20" s="13" t="n">
        <v>1750</v>
      </c>
      <c r="H20" s="13" t="n">
        <v>440</v>
      </c>
      <c r="I20" s="13" t="n">
        <v>2365</v>
      </c>
      <c r="J20" s="13" t="n">
        <v>-848</v>
      </c>
      <c r="K20" s="13" t="n">
        <v>-9770.15</v>
      </c>
      <c r="L20" s="13" t="n">
        <v>0</v>
      </c>
      <c r="M20" s="13" t="n">
        <v>0</v>
      </c>
      <c r="N20" s="13" t="n">
        <v>2140</v>
      </c>
      <c r="O20" s="13" t="n">
        <v>2500</v>
      </c>
      <c r="P20" s="13" t="n">
        <v>4560</v>
      </c>
      <c r="Q20" s="13" t="n">
        <v>1900</v>
      </c>
      <c r="R20" s="13" t="n">
        <v>2500</v>
      </c>
      <c r="S20" s="13" t="n">
        <v>-450.15</v>
      </c>
    </row>
    <row r="21">
      <c r="A21" t="n">
        <v>20</v>
      </c>
      <c r="B21" t="inlineStr">
        <is>
          <t>2027-09-01</t>
        </is>
      </c>
      <c r="C21" t="inlineStr">
        <is>
          <t>Phase 3: Emergency Fund</t>
        </is>
      </c>
      <c r="D21" s="13" t="n">
        <v>10000</v>
      </c>
      <c r="E21" s="13" t="n">
        <v>2897</v>
      </c>
      <c r="F21" s="13" t="n">
        <v>3396</v>
      </c>
      <c r="G21" s="13" t="n">
        <v>1750</v>
      </c>
      <c r="H21" s="13" t="n">
        <v>440</v>
      </c>
      <c r="I21" s="13" t="n">
        <v>2365</v>
      </c>
      <c r="J21" s="13" t="n">
        <v>-848</v>
      </c>
      <c r="K21" s="13" t="n">
        <v>-10618.15</v>
      </c>
      <c r="L21" s="13" t="n">
        <v>0</v>
      </c>
      <c r="M21" s="13" t="n">
        <v>0</v>
      </c>
      <c r="N21" s="13" t="n">
        <v>1700</v>
      </c>
      <c r="O21" s="13" t="n">
        <v>3000</v>
      </c>
      <c r="P21" s="13" t="n">
        <v>5700</v>
      </c>
      <c r="Q21" s="13" t="n">
        <v>2000</v>
      </c>
      <c r="R21" s="13" t="n">
        <v>3125</v>
      </c>
      <c r="S21" s="13" t="n">
        <v>1506.85</v>
      </c>
    </row>
    <row r="22">
      <c r="A22" t="n">
        <v>21</v>
      </c>
      <c r="B22" t="inlineStr">
        <is>
          <t>2027-10-01</t>
        </is>
      </c>
      <c r="C22" t="inlineStr">
        <is>
          <t>Phase 3: Emergency Fund</t>
        </is>
      </c>
      <c r="D22" s="13" t="n">
        <v>10000</v>
      </c>
      <c r="E22" s="13" t="n">
        <v>2897</v>
      </c>
      <c r="F22" s="13" t="n">
        <v>3396</v>
      </c>
      <c r="G22" s="13" t="n">
        <v>1750</v>
      </c>
      <c r="H22" s="13" t="n">
        <v>440</v>
      </c>
      <c r="I22" s="13" t="n">
        <v>2365</v>
      </c>
      <c r="J22" s="13" t="n">
        <v>-848</v>
      </c>
      <c r="K22" s="13" t="n">
        <v>-11466.15</v>
      </c>
      <c r="L22" s="13" t="n">
        <v>0</v>
      </c>
      <c r="M22" s="13" t="n">
        <v>0</v>
      </c>
      <c r="N22" s="13" t="n">
        <v>1260</v>
      </c>
      <c r="O22" s="13" t="n">
        <v>3500</v>
      </c>
      <c r="P22" s="13" t="n">
        <v>6840</v>
      </c>
      <c r="Q22" s="13" t="n">
        <v>2100</v>
      </c>
      <c r="R22" s="13" t="n">
        <v>3750</v>
      </c>
      <c r="S22" s="13" t="n">
        <v>3463.85</v>
      </c>
    </row>
    <row r="23">
      <c r="A23" t="n">
        <v>22</v>
      </c>
      <c r="B23" t="inlineStr">
        <is>
          <t>2027-11-01</t>
        </is>
      </c>
      <c r="C23" t="inlineStr">
        <is>
          <t>Phase 3: Emergency Fund</t>
        </is>
      </c>
      <c r="D23" s="13" t="n">
        <v>10000</v>
      </c>
      <c r="E23" s="13" t="n">
        <v>2897</v>
      </c>
      <c r="F23" s="13" t="n">
        <v>3396</v>
      </c>
      <c r="G23" s="13" t="n">
        <v>1750</v>
      </c>
      <c r="H23" s="13" t="n">
        <v>440</v>
      </c>
      <c r="I23" s="13" t="n">
        <v>2365</v>
      </c>
      <c r="J23" s="13" t="n">
        <v>-848</v>
      </c>
      <c r="K23" s="13" t="n">
        <v>-12314.15</v>
      </c>
      <c r="L23" s="13" t="n">
        <v>0</v>
      </c>
      <c r="M23" s="13" t="n">
        <v>0</v>
      </c>
      <c r="N23" s="13" t="n">
        <v>820</v>
      </c>
      <c r="O23" s="13" t="n">
        <v>4000</v>
      </c>
      <c r="P23" s="13" t="n">
        <v>7980</v>
      </c>
      <c r="Q23" s="13" t="n">
        <v>2200</v>
      </c>
      <c r="R23" s="13" t="n">
        <v>4375</v>
      </c>
      <c r="S23" s="13" t="n">
        <v>5420.85</v>
      </c>
    </row>
    <row r="24">
      <c r="A24" t="n">
        <v>23</v>
      </c>
      <c r="B24" t="inlineStr">
        <is>
          <t>2027-12-01</t>
        </is>
      </c>
      <c r="C24" t="inlineStr">
        <is>
          <t>Phase 3: Emergency Fund</t>
        </is>
      </c>
      <c r="D24" s="13" t="n">
        <v>10000</v>
      </c>
      <c r="E24" s="13" t="n">
        <v>2897</v>
      </c>
      <c r="F24" s="13" t="n">
        <v>3396</v>
      </c>
      <c r="G24" s="13" t="n">
        <v>1750</v>
      </c>
      <c r="H24" s="13" t="n">
        <v>440</v>
      </c>
      <c r="I24" s="13" t="n">
        <v>2365</v>
      </c>
      <c r="J24" s="13" t="n">
        <v>-848</v>
      </c>
      <c r="K24" s="13" t="n">
        <v>-13162.15</v>
      </c>
      <c r="L24" s="13" t="n">
        <v>0</v>
      </c>
      <c r="M24" s="13" t="n">
        <v>0</v>
      </c>
      <c r="N24" s="13" t="n">
        <v>380</v>
      </c>
      <c r="O24" s="13" t="n">
        <v>4500</v>
      </c>
      <c r="P24" s="13" t="n">
        <v>9120</v>
      </c>
      <c r="Q24" s="13" t="n">
        <v>2300</v>
      </c>
      <c r="R24" s="13" t="n">
        <v>5000</v>
      </c>
      <c r="S24" s="13" t="n">
        <v>7377.85</v>
      </c>
    </row>
    <row r="25">
      <c r="A25" t="n">
        <v>24</v>
      </c>
      <c r="B25" t="inlineStr">
        <is>
          <t>2028-01-01</t>
        </is>
      </c>
      <c r="C25" t="inlineStr">
        <is>
          <t>Phase 3: Emergency Fund</t>
        </is>
      </c>
      <c r="D25" s="13" t="n">
        <v>10000</v>
      </c>
      <c r="E25" s="13" t="n">
        <v>2897</v>
      </c>
      <c r="F25" s="13" t="n">
        <v>3396</v>
      </c>
      <c r="G25" s="13" t="n">
        <v>1750</v>
      </c>
      <c r="H25" s="13" t="n">
        <v>380</v>
      </c>
      <c r="I25" s="13" t="n">
        <v>2365</v>
      </c>
      <c r="J25" s="13" t="n">
        <v>-788</v>
      </c>
      <c r="K25" s="13" t="n">
        <v>-13950.15</v>
      </c>
      <c r="L25" s="13" t="n">
        <v>0</v>
      </c>
      <c r="M25" s="13" t="n">
        <v>0</v>
      </c>
      <c r="N25" s="13" t="n">
        <v>0</v>
      </c>
      <c r="O25" s="13" t="n">
        <v>5000</v>
      </c>
      <c r="P25" s="13" t="n">
        <v>10260</v>
      </c>
      <c r="Q25" s="13" t="n">
        <v>2400</v>
      </c>
      <c r="R25" s="13" t="n">
        <v>5625</v>
      </c>
      <c r="S25" s="13" t="n">
        <v>9334.85</v>
      </c>
    </row>
    <row r="26">
      <c r="A26" s="14" t="inlineStr">
        <is>
          <t>TOTALS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EMERGENCY SCENARIO ANALYSIS</t>
        </is>
      </c>
    </row>
    <row r="3">
      <c r="A3" s="11" t="inlineStr">
        <is>
          <t>Metric</t>
        </is>
      </c>
      <c r="B3" s="11" t="inlineStr">
        <is>
          <t>Payment Delayed 1 Month</t>
        </is>
      </c>
      <c r="C3" s="11" t="inlineStr">
        <is>
          <t>Contract Loss (2 months)</t>
        </is>
      </c>
      <c r="D3" s="11" t="inlineStr">
        <is>
          <t>Contract Loss (4 months)</t>
        </is>
      </c>
    </row>
    <row r="4">
      <c r="A4" t="inlineStr">
        <is>
          <t>Description</t>
        </is>
      </c>
      <c r="B4" t="inlineStr">
        <is>
          <t>Income arrives Month 2 instead of Month 1. Shows chequing dip.</t>
        </is>
      </c>
      <c r="C4" t="inlineStr">
        <is>
          <t>Zero income for 2 months. Shows reserve drawdown.</t>
        </is>
      </c>
      <c r="D4" t="inlineStr">
        <is>
          <t>Zero income for 4 months. Shows reserve drawdown.</t>
        </is>
      </c>
    </row>
    <row r="5">
      <c r="A5" t="inlineStr">
        <is>
          <t>Reserves Exhausted (Month)</t>
        </is>
      </c>
      <c r="B5" t="inlineStr">
        <is>
          <t>No</t>
        </is>
      </c>
      <c r="C5" s="18" t="n">
        <v>2</v>
      </c>
      <c r="D5" s="18" t="n">
        <v>2</v>
      </c>
    </row>
    <row r="6">
      <c r="A6" t="inlineStr">
        <is>
          <t>Recovery Months Needed</t>
        </is>
      </c>
      <c r="B6" t="n">
        <v>1</v>
      </c>
      <c r="C6" t="n">
        <v>3</v>
      </c>
      <c r="D6" t="n">
        <v>5</v>
      </c>
    </row>
    <row r="7">
      <c r="A7" s="14" t="inlineStr">
        <is>
          <t>Missed Payments</t>
        </is>
      </c>
    </row>
    <row r="8">
      <c r="B8" s="18" t="inlineStr">
        <is>
          <t>Month 1: Chequing negative — LOC autopay may bounce</t>
        </is>
      </c>
      <c r="C8" s="18" t="inlineStr">
        <is>
          <t>Month 2: Cannot cover $2792.00 in expenses</t>
        </is>
      </c>
      <c r="D8" s="18" t="inlineStr">
        <is>
          <t>Month 2: Cannot cover $2792.00 in expenses</t>
        </is>
      </c>
    </row>
    <row r="9">
      <c r="D9" s="18" t="inlineStr">
        <is>
          <t>Month 3: Cannot cover $3896.00 in expenses</t>
        </is>
      </c>
    </row>
    <row r="10">
      <c r="D10" s="18" t="inlineStr">
        <is>
          <t>Month 4: Cannot cover $3896.00 in expenses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2026-03-07T22:55:22Z</dcterms:created>
  <dcterms:modified xsi:type="dcterms:W3CDTF">2026-03-07T22:55:22Z</dcterms:modified>
</cp:coreProperties>
</file>